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現状・前提" sheetId="1" state="visible" r:id="rId1"/>
    <sheet xmlns:r="http://schemas.openxmlformats.org/officeDocument/2006/relationships" name="②損益シミュレーション" sheetId="2" state="visible" r:id="rId2"/>
    <sheet xmlns:r="http://schemas.openxmlformats.org/officeDocument/2006/relationships" name="③シナリオ比較" sheetId="3" state="visible" r:id="rId3"/>
    <sheet xmlns:r="http://schemas.openxmlformats.org/officeDocument/2006/relationships" name="④固定費削減分析（戦略D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-"/>
    <numFmt numFmtId="165" formatCode="0.00%;(0.00%);-"/>
    <numFmt numFmtId="166" formatCode="0.0&quot;x&quot;"/>
    <numFmt numFmtId="167" formatCode="0.0%;(0.0%);-"/>
    <numFmt numFmtId="168" formatCode="#,##0.0;(#,##0.0);-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666666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color rgb="00666666"/>
      <sz val="10"/>
    </font>
    <font>
      <name val="Arial"/>
      <color rgb="00444444"/>
      <sz val="9"/>
    </font>
    <font>
      <name val="Arial"/>
      <b val="1"/>
      <color rgb="008B0000"/>
      <sz val="10"/>
    </font>
    <font>
      <name val="Arial"/>
      <b val="1"/>
      <color rgb="00006400"/>
      <sz val="10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2E74B5"/>
      </patternFill>
    </fill>
    <fill>
      <patternFill patternType="solid">
        <fgColor rgb="00BDD7EE"/>
      </patternFill>
    </fill>
    <fill>
      <patternFill patternType="solid">
        <fgColor rgb="00D9E2F3"/>
      </patternFill>
    </fill>
    <fill>
      <patternFill patternType="solid">
        <fgColor rgb="00FFFFC0"/>
      </patternFill>
    </fill>
    <fill>
      <patternFill patternType="solid">
        <fgColor rgb="00FFDDC1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 wrapText="1"/>
    </xf>
    <xf numFmtId="164" fontId="7" fillId="5" borderId="1" applyAlignment="1" pivotButton="0" quotePrefix="0" xfId="0">
      <alignment horizontal="right" vertical="center" wrapText="1"/>
    </xf>
    <xf numFmtId="166" fontId="7" fillId="5" borderId="1" applyAlignment="1" pivotButton="0" quotePrefix="0" xfId="0">
      <alignment horizontal="right" vertical="center" wrapText="1"/>
    </xf>
    <xf numFmtId="167" fontId="6" fillId="6" borderId="1" applyAlignment="1" pivotButton="0" quotePrefix="0" xfId="0">
      <alignment horizontal="right" vertical="center" wrapText="1"/>
    </xf>
    <xf numFmtId="165" fontId="6" fillId="6" borderId="1" applyAlignment="1" pivotButton="0" quotePrefix="0" xfId="0">
      <alignment horizontal="right" vertical="center" wrapText="1"/>
    </xf>
    <xf numFmtId="164" fontId="6" fillId="6" borderId="1" applyAlignment="1" pivotButton="0" quotePrefix="0" xfId="0">
      <alignment horizontal="right" vertical="center" wrapText="1"/>
    </xf>
    <xf numFmtId="164" fontId="8" fillId="0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left" vertical="center" wrapText="1"/>
    </xf>
    <xf numFmtId="166" fontId="5" fillId="5" borderId="1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7" fontId="5" fillId="7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 wrapText="1"/>
    </xf>
    <xf numFmtId="168" fontId="5" fillId="7" borderId="1" applyAlignment="1" pivotButton="0" quotePrefix="0" xfId="0">
      <alignment horizontal="right" vertical="center" wrapText="1"/>
    </xf>
    <xf numFmtId="168" fontId="10" fillId="7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7" fontId="5" fillId="8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 wrapText="1"/>
    </xf>
    <xf numFmtId="168" fontId="5" fillId="8" borderId="1" applyAlignment="1" pivotButton="0" quotePrefix="0" xfId="0">
      <alignment horizontal="right" vertical="center" wrapText="1"/>
    </xf>
    <xf numFmtId="168" fontId="11" fillId="8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167" fontId="7" fillId="9" borderId="1" applyAlignment="1" pivotButton="0" quotePrefix="0" xfId="0">
      <alignment horizontal="center" vertical="center" wrapText="1"/>
    </xf>
    <xf numFmtId="165" fontId="7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right" vertical="center" wrapText="1"/>
    </xf>
    <xf numFmtId="168" fontId="7" fillId="9" borderId="1" applyAlignment="1" pivotButton="0" quotePrefix="0" xfId="0">
      <alignment horizontal="right" vertical="center" wrapText="1"/>
    </xf>
    <xf numFmtId="168" fontId="11" fillId="9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 wrapText="1"/>
    </xf>
    <xf numFmtId="167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7" fontId="7" fillId="5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left" vertical="center" wrapText="1"/>
    </xf>
    <xf numFmtId="164" fontId="5" fillId="10" borderId="1" applyAlignment="1" pivotButton="0" quotePrefix="0" xfId="0">
      <alignment horizontal="right" vertical="center" wrapText="1"/>
    </xf>
    <xf numFmtId="164" fontId="7" fillId="10" borderId="1" applyAlignment="1" pivotButton="0" quotePrefix="0" xfId="0">
      <alignment horizontal="right" vertical="center" wrapText="1"/>
    </xf>
    <xf numFmtId="0" fontId="5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FDDC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35" customWidth="1" min="3" max="3"/>
  </cols>
  <sheetData>
    <row r="1" ht="30" customHeight="1">
      <c r="A1" s="1" t="inlineStr">
        <is>
          <t>DM Connect  黒字転換シミュレーター  ―  現状・前提シート</t>
        </is>
      </c>
    </row>
    <row r="2">
      <c r="A2" s="2" t="inlineStr">
        <is>
          <t>青色セルが入力値（変更可能）。黄色セルは要確認の仮定。</t>
        </is>
      </c>
    </row>
    <row r="4">
      <c r="A4" s="3" t="inlineStr">
        <is>
          <t>【A】 2025年度 実績（台帳管理データより）</t>
        </is>
      </c>
    </row>
    <row r="5">
      <c r="A5" s="4" t="inlineStr">
        <is>
          <t>項目</t>
        </is>
      </c>
      <c r="B5" s="4" t="inlineStr">
        <is>
          <t>実績値（税別・円）</t>
        </is>
      </c>
      <c r="C5" s="4" t="inlineStr">
        <is>
          <t>備考</t>
        </is>
      </c>
    </row>
    <row r="6">
      <c r="A6" s="5" t="inlineStr">
        <is>
          <t>売上合計（印刷＋利用料＋郵券代）</t>
        </is>
      </c>
      <c r="B6" s="6" t="n">
        <v>92331558</v>
      </c>
      <c r="C6" s="7" t="inlineStr">
        <is>
          <t>台帳管理 25年度集計</t>
        </is>
      </c>
    </row>
    <row r="7">
      <c r="A7" s="5" t="inlineStr">
        <is>
          <t>変動費合計</t>
        </is>
      </c>
      <c r="B7" s="6" t="n">
        <v>80717176</v>
      </c>
      <c r="C7" s="7" t="inlineStr">
        <is>
          <t>台帳管理 25年度集計</t>
        </is>
      </c>
    </row>
    <row r="8">
      <c r="A8" s="5" t="inlineStr">
        <is>
          <t xml:space="preserve">　うち印刷費（仕入）</t>
        </is>
      </c>
      <c r="B8" s="6" t="n">
        <v>9267754</v>
      </c>
      <c r="C8" s="7" t="inlineStr">
        <is>
          <t xml:space="preserve">　</t>
        </is>
      </c>
    </row>
    <row r="9">
      <c r="A9" s="5" t="inlineStr">
        <is>
          <t xml:space="preserve">　うち郵券代（原価）</t>
        </is>
      </c>
      <c r="B9" s="6" t="n">
        <v>41017206</v>
      </c>
      <c r="C9" s="7" t="inlineStr">
        <is>
          <t xml:space="preserve">　</t>
        </is>
      </c>
    </row>
    <row r="10">
      <c r="A10" s="5" t="inlineStr">
        <is>
          <t xml:space="preserve">　うちSMP利用料（変動）</t>
        </is>
      </c>
      <c r="B10" s="6" t="n">
        <v>8133990</v>
      </c>
      <c r="C10" s="7" t="inlineStr">
        <is>
          <t xml:space="preserve">　</t>
        </is>
      </c>
    </row>
    <row r="11">
      <c r="A11" s="5" t="inlineStr">
        <is>
          <t xml:space="preserve">　うちDM Publisher利用料（変動）</t>
        </is>
      </c>
      <c r="B11" s="6" t="n">
        <v>21611927</v>
      </c>
      <c r="C11" s="7" t="inlineStr">
        <is>
          <t xml:space="preserve">　</t>
        </is>
      </c>
    </row>
    <row r="12">
      <c r="A12" s="5" t="inlineStr">
        <is>
          <t xml:space="preserve">　うち作業費・その他</t>
        </is>
      </c>
      <c r="B12" s="6" t="n">
        <v>686299</v>
      </c>
      <c r="C12" s="7" t="inlineStr">
        <is>
          <t xml:space="preserve">　</t>
        </is>
      </c>
    </row>
    <row r="13">
      <c r="A13" s="5" t="inlineStr">
        <is>
          <t>粗利（売上－変動費）</t>
        </is>
      </c>
      <c r="B13" s="6" t="n">
        <v>11614382</v>
      </c>
      <c r="C13" s="7">
        <f>B6-B7</f>
        <v/>
      </c>
    </row>
    <row r="14">
      <c r="A14" s="5" t="inlineStr">
        <is>
          <t>粗利率</t>
        </is>
      </c>
      <c r="B14" s="8">
        <f>B13/B6</f>
        <v/>
      </c>
      <c r="C14" s="7">
        <f>B13/B6</f>
        <v/>
      </c>
    </row>
    <row r="15">
      <c r="A15" s="5" t="inlineStr">
        <is>
          <t>固定費合計（実績）</t>
        </is>
      </c>
      <c r="B15" s="6" t="n">
        <v>28541519</v>
      </c>
      <c r="C15" s="7" t="inlineStr">
        <is>
          <t>台帳管理 25年度集計</t>
        </is>
      </c>
    </row>
    <row r="16">
      <c r="A16" s="5" t="inlineStr">
        <is>
          <t xml:space="preserve">　うちシステム維持管理費</t>
        </is>
      </c>
      <c r="B16" s="6" t="n">
        <v>19699862</v>
      </c>
      <c r="C16" s="7" t="inlineStr">
        <is>
          <t>最大の固定費項目</t>
        </is>
      </c>
    </row>
    <row r="17">
      <c r="A17" s="5" t="inlineStr">
        <is>
          <t xml:space="preserve">　うちSD部業務委託費</t>
        </is>
      </c>
      <c r="B17" s="6" t="n">
        <v>5280000</v>
      </c>
      <c r="C17" s="7" t="inlineStr">
        <is>
          <t xml:space="preserve">　</t>
        </is>
      </c>
    </row>
    <row r="18">
      <c r="A18" s="5" t="inlineStr">
        <is>
          <t xml:space="preserve">　うちSMP/DM Publisher固定費</t>
        </is>
      </c>
      <c r="B18" s="6" t="n">
        <v>2371800</v>
      </c>
      <c r="C18" s="7" t="inlineStr">
        <is>
          <t>1,872,600+499,200</t>
        </is>
      </c>
    </row>
    <row r="19">
      <c r="A19" s="5" t="inlineStr">
        <is>
          <t xml:space="preserve">　うち減価償却費</t>
        </is>
      </c>
      <c r="B19" s="6" t="n">
        <v>1172000</v>
      </c>
      <c r="C19" s="7" t="inlineStr">
        <is>
          <t>今後ゼロになる予定</t>
        </is>
      </c>
    </row>
    <row r="20">
      <c r="A20" s="5" t="inlineStr">
        <is>
          <t xml:space="preserve">　うちその他（営業サポート等）</t>
        </is>
      </c>
      <c r="B20" s="6" t="n">
        <v>17857</v>
      </c>
      <c r="C20" s="7" t="inlineStr">
        <is>
          <t xml:space="preserve">　</t>
        </is>
      </c>
    </row>
    <row r="21">
      <c r="A21" s="5" t="inlineStr">
        <is>
          <t>全体損益（実績）</t>
        </is>
      </c>
      <c r="B21" s="6" t="n">
        <v>-16927138</v>
      </c>
      <c r="C21" s="7">
        <f>B13-B15</f>
        <v/>
      </c>
    </row>
    <row r="23">
      <c r="A23" s="3" t="inlineStr">
        <is>
          <t>【B】 減価償却費ゼロ後の修正固定費（今後の前提）</t>
        </is>
      </c>
    </row>
    <row r="24">
      <c r="A24" s="9" t="inlineStr">
        <is>
          <t>修正固定費（減価償却ゼロ）</t>
        </is>
      </c>
      <c r="B24" s="10">
        <f>B15-B19</f>
        <v/>
      </c>
      <c r="C24" s="11" t="inlineStr">
        <is>
          <t>実績固定費 − 減価償却費</t>
        </is>
      </c>
    </row>
    <row r="25">
      <c r="A25" s="9" t="inlineStr">
        <is>
          <t xml:space="preserve">　（参考）減価償却費</t>
        </is>
      </c>
      <c r="B25" s="12" t="n">
        <v>1172000</v>
      </c>
      <c r="C25" s="11" t="inlineStr">
        <is>
          <t>今後ゼロになるため控除</t>
        </is>
      </c>
    </row>
    <row r="26">
      <c r="A26" s="9" t="inlineStr">
        <is>
          <t>修正後 全体損益</t>
        </is>
      </c>
      <c r="B26" s="13">
        <f>B13-B24</f>
        <v/>
      </c>
      <c r="C26" s="11" t="inlineStr">
        <is>
          <t>粗利 − 修正固定費</t>
        </is>
      </c>
    </row>
    <row r="27">
      <c r="A27" s="9" t="inlineStr">
        <is>
          <t>修正後 損益分岐点売上</t>
        </is>
      </c>
      <c r="B27" s="10">
        <f>B24/B14</f>
        <v/>
      </c>
      <c r="C27" s="11" t="inlineStr">
        <is>
          <t>修正固定費 ÷ 粗利率</t>
        </is>
      </c>
    </row>
    <row r="28">
      <c r="A28" s="9" t="inlineStr">
        <is>
          <t>現状比 損益分岐点倍率</t>
        </is>
      </c>
      <c r="B28" s="14">
        <f>B27/B6</f>
        <v/>
      </c>
      <c r="C28" s="11" t="inlineStr">
        <is>
          <t>何倍の売上が必要か</t>
        </is>
      </c>
    </row>
  </sheetData>
  <mergeCells count="4">
    <mergeCell ref="A2:F2"/>
    <mergeCell ref="A1:F1"/>
    <mergeCell ref="A23:F2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0" customWidth="1" min="3" max="3"/>
  </cols>
  <sheetData>
    <row r="1" ht="30" customHeight="1">
      <c r="A1" s="1" t="inlineStr">
        <is>
          <t>DM Connect  損益シミュレーション  ―  3変数（売上・粗利率・固定費）を動かして試算</t>
        </is>
      </c>
    </row>
    <row r="3">
      <c r="A3" s="3" t="inlineStr">
        <is>
          <t>▼ 仮定の入力（青色セルを変更してシミュレーション）</t>
        </is>
      </c>
    </row>
    <row r="4">
      <c r="A4" s="5" t="inlineStr">
        <is>
          <t>売上成長率（現状比）</t>
        </is>
      </c>
      <c r="B4" s="15" t="n">
        <v>1</v>
      </c>
      <c r="C4" s="7" t="inlineStr">
        <is>
          <t>1.0=現状維持　1.5=1.5倍</t>
        </is>
      </c>
    </row>
    <row r="5">
      <c r="A5" s="5" t="inlineStr">
        <is>
          <t>目標粗利率</t>
        </is>
      </c>
      <c r="B5" s="16" t="n">
        <v>0.126</v>
      </c>
      <c r="C5" s="7" t="inlineStr">
        <is>
          <t>現状12.6%。印刷原価交渉等で改善</t>
        </is>
      </c>
    </row>
    <row r="6">
      <c r="A6" s="5" t="inlineStr">
        <is>
          <t>固定費削減額（万円）</t>
        </is>
      </c>
      <c r="B6" s="17" t="n">
        <v>0</v>
      </c>
      <c r="C6" s="7" t="inlineStr">
        <is>
          <t>0=削減なし　500=500万円削減</t>
        </is>
      </c>
    </row>
    <row r="7">
      <c r="A7" s="5" t="inlineStr">
        <is>
          <t>減価償却費（自動控除）</t>
        </is>
      </c>
      <c r="B7" s="18" t="n">
        <v>-1172000</v>
      </c>
      <c r="C7" s="7" t="inlineStr">
        <is>
          <t>自動で固定費から控除（変更不可）</t>
        </is>
      </c>
    </row>
    <row r="9">
      <c r="A9" s="3" t="inlineStr">
        <is>
          <t>▼ 計算結果</t>
        </is>
      </c>
    </row>
    <row r="10">
      <c r="A10" s="9" t="inlineStr">
        <is>
          <t>シミュレーション売上</t>
        </is>
      </c>
      <c r="B10" s="10">
        <f>92331558*B4</f>
        <v/>
      </c>
    </row>
    <row r="11">
      <c r="A11" s="9" t="inlineStr">
        <is>
          <t>シミュレーション粗利</t>
        </is>
      </c>
      <c r="B11" s="10">
        <f>B10*B5</f>
        <v/>
      </c>
    </row>
    <row r="12">
      <c r="A12" s="9" t="inlineStr">
        <is>
          <t>修正固定費（実績）</t>
        </is>
      </c>
      <c r="B12" s="10">
        <f>28541519+B7</f>
        <v/>
      </c>
    </row>
    <row r="13">
      <c r="A13" s="9" t="inlineStr">
        <is>
          <t>固定費削減後</t>
        </is>
      </c>
      <c r="B13" s="10">
        <f>B12-B6</f>
        <v/>
      </c>
    </row>
    <row r="14">
      <c r="A14" s="19" t="inlineStr">
        <is>
          <t>シミュレーション損益</t>
        </is>
      </c>
      <c r="B14" s="13">
        <f>B11-B13</f>
        <v/>
      </c>
    </row>
    <row r="15">
      <c r="A15" s="9" t="inlineStr">
        <is>
          <t>損益分岐点売上</t>
        </is>
      </c>
      <c r="B15" s="10">
        <f>B13/B5</f>
        <v/>
      </c>
    </row>
    <row r="16">
      <c r="A16" s="9" t="inlineStr">
        <is>
          <t>現状比倍率</t>
        </is>
      </c>
      <c r="B16" s="20">
        <f>B15/92331558</f>
        <v/>
      </c>
    </row>
  </sheetData>
  <mergeCells count="3">
    <mergeCell ref="A9:H9"/>
    <mergeCell ref="A3:H3"/>
    <mergeCell ref="A1:H1"/>
  </mergeCells>
  <conditionalFormatting sqref="B14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8" customWidth="1" min="10" max="10"/>
  </cols>
  <sheetData>
    <row r="1" ht="30" customHeight="1">
      <c r="A1" s="1" t="inlineStr">
        <is>
          <t>DM Connect  シナリオ比較表  ―  黒字転換に必要な条件の組み合わせ</t>
        </is>
      </c>
    </row>
    <row r="2">
      <c r="A2" s="21" t="inlineStr">
        <is>
          <t>※ 減価償却費117万円はすべてのシナリオで控除済み。緑色＝黒字達成、赤色＝依然赤字。</t>
        </is>
      </c>
    </row>
    <row r="3" ht="32" customHeight="1">
      <c r="A3" s="22" t="inlineStr">
        <is>
          <t>シナリオ</t>
        </is>
      </c>
      <c r="B3" s="22" t="inlineStr">
        <is>
          <t>売上成長率</t>
        </is>
      </c>
      <c r="C3" s="22" t="inlineStr">
        <is>
          <t>目標粗利率</t>
        </is>
      </c>
      <c r="D3" s="22" t="inlineStr">
        <is>
          <t>固定費削減
（万円）</t>
        </is>
      </c>
      <c r="E3" s="22" t="inlineStr">
        <is>
          <t>シミュレーション
売上（万円）</t>
        </is>
      </c>
      <c r="F3" s="22" t="inlineStr">
        <is>
          <t>シミュレーション
粗利（万円）</t>
        </is>
      </c>
      <c r="G3" s="22" t="inlineStr">
        <is>
          <t>修正後
固定費（万円）</t>
        </is>
      </c>
      <c r="H3" s="22" t="inlineStr">
        <is>
          <t>損益（万円）</t>
        </is>
      </c>
      <c r="I3" s="22" t="inlineStr">
        <is>
          <t>損益分岐点
売上（万円）</t>
        </is>
      </c>
      <c r="J3" s="22" t="inlineStr">
        <is>
          <t>判定</t>
        </is>
      </c>
    </row>
    <row r="4">
      <c r="A4" s="23" t="inlineStr">
        <is>
          <t>現状（参考）</t>
        </is>
      </c>
      <c r="B4" s="24" t="n">
        <v>1</v>
      </c>
      <c r="C4" s="25" t="n">
        <v>0.126</v>
      </c>
      <c r="D4" s="26" t="n">
        <v>0</v>
      </c>
      <c r="E4" s="27" t="n">
        <v>9233.1558</v>
      </c>
      <c r="F4" s="27" t="n">
        <v>1163.3776308</v>
      </c>
      <c r="G4" s="27" t="n">
        <v>2736.9519</v>
      </c>
      <c r="H4" s="28" t="n">
        <v>-1573.5742692</v>
      </c>
      <c r="I4" s="27" t="n">
        <v>21721.84047619047</v>
      </c>
      <c r="J4" s="29" t="inlineStr">
        <is>
          <t>✕ 赤字</t>
        </is>
      </c>
    </row>
    <row r="5">
      <c r="A5" s="23" t="inlineStr">
        <is>
          <t>A. 減価償却のみ効果</t>
        </is>
      </c>
      <c r="B5" s="24" t="n">
        <v>1</v>
      </c>
      <c r="C5" s="25" t="n">
        <v>0.126</v>
      </c>
      <c r="D5" s="26" t="n">
        <v>0</v>
      </c>
      <c r="E5" s="27" t="n">
        <v>9233.1558</v>
      </c>
      <c r="F5" s="27" t="n">
        <v>1163.3776308</v>
      </c>
      <c r="G5" s="27" t="n">
        <v>2736.9519</v>
      </c>
      <c r="H5" s="28" t="n">
        <v>-1573.5742692</v>
      </c>
      <c r="I5" s="27" t="n">
        <v>21721.84047619047</v>
      </c>
      <c r="J5" s="29" t="inlineStr">
        <is>
          <t>✕ 赤字</t>
        </is>
      </c>
    </row>
    <row r="6">
      <c r="A6" s="23" t="inlineStr">
        <is>
          <t>B. 売上1.5倍</t>
        </is>
      </c>
      <c r="B6" s="24" t="n">
        <v>1.5</v>
      </c>
      <c r="C6" s="25" t="n">
        <v>0.126</v>
      </c>
      <c r="D6" s="26" t="n">
        <v>0</v>
      </c>
      <c r="E6" s="27" t="n">
        <v>13849.7337</v>
      </c>
      <c r="F6" s="27" t="n">
        <v>1745.0664462</v>
      </c>
      <c r="G6" s="27" t="n">
        <v>2736.9519</v>
      </c>
      <c r="H6" s="28" t="n">
        <v>-991.8854537999998</v>
      </c>
      <c r="I6" s="27" t="n">
        <v>21721.84047619047</v>
      </c>
      <c r="J6" s="29" t="inlineStr">
        <is>
          <t>✕ 赤字</t>
        </is>
      </c>
    </row>
    <row r="7">
      <c r="A7" s="23" t="inlineStr">
        <is>
          <t>C. 売上2.0倍</t>
        </is>
      </c>
      <c r="B7" s="24" t="n">
        <v>2</v>
      </c>
      <c r="C7" s="25" t="n">
        <v>0.126</v>
      </c>
      <c r="D7" s="26" t="n">
        <v>0</v>
      </c>
      <c r="E7" s="27" t="n">
        <v>18466.3116</v>
      </c>
      <c r="F7" s="27" t="n">
        <v>2326.7552616</v>
      </c>
      <c r="G7" s="27" t="n">
        <v>2736.9519</v>
      </c>
      <c r="H7" s="28" t="n">
        <v>-410.1966384</v>
      </c>
      <c r="I7" s="27" t="n">
        <v>21721.84047619047</v>
      </c>
      <c r="J7" s="29" t="inlineStr">
        <is>
          <t>✕ 赤字</t>
        </is>
      </c>
    </row>
    <row r="8">
      <c r="A8" s="30" t="inlineStr">
        <is>
          <t>D. 売上2.5倍（BEP）</t>
        </is>
      </c>
      <c r="B8" s="31" t="n">
        <v>2.5</v>
      </c>
      <c r="C8" s="32" t="n">
        <v>0.126</v>
      </c>
      <c r="D8" s="33" t="n">
        <v>0</v>
      </c>
      <c r="E8" s="34" t="n">
        <v>23082.8895</v>
      </c>
      <c r="F8" s="34" t="n">
        <v>2908.444077</v>
      </c>
      <c r="G8" s="34" t="n">
        <v>2736.9519</v>
      </c>
      <c r="H8" s="35" t="n">
        <v>171.4921769999999</v>
      </c>
      <c r="I8" s="34" t="n">
        <v>21721.84047619047</v>
      </c>
      <c r="J8" s="36" t="inlineStr">
        <is>
          <t>◎ 黒字</t>
        </is>
      </c>
    </row>
    <row r="9">
      <c r="A9" s="23" t="inlineStr">
        <is>
          <t>E. 粗利率20%</t>
        </is>
      </c>
      <c r="B9" s="24" t="n">
        <v>1</v>
      </c>
      <c r="C9" s="25" t="n">
        <v>0.2</v>
      </c>
      <c r="D9" s="26" t="n">
        <v>0</v>
      </c>
      <c r="E9" s="27" t="n">
        <v>9233.1558</v>
      </c>
      <c r="F9" s="27" t="n">
        <v>1846.63116</v>
      </c>
      <c r="G9" s="27" t="n">
        <v>2736.9519</v>
      </c>
      <c r="H9" s="28" t="n">
        <v>-890.3207399999999</v>
      </c>
      <c r="I9" s="27" t="n">
        <v>13684.7595</v>
      </c>
      <c r="J9" s="29" t="inlineStr">
        <is>
          <t>✕ 赤字</t>
        </is>
      </c>
    </row>
    <row r="10">
      <c r="A10" s="23" t="inlineStr">
        <is>
          <t>F. 粗利率25%</t>
        </is>
      </c>
      <c r="B10" s="24" t="n">
        <v>1</v>
      </c>
      <c r="C10" s="25" t="n">
        <v>0.25</v>
      </c>
      <c r="D10" s="26" t="n">
        <v>0</v>
      </c>
      <c r="E10" s="27" t="n">
        <v>9233.1558</v>
      </c>
      <c r="F10" s="27" t="n">
        <v>2308.28895</v>
      </c>
      <c r="G10" s="27" t="n">
        <v>2736.9519</v>
      </c>
      <c r="H10" s="28" t="n">
        <v>-428.66295</v>
      </c>
      <c r="I10" s="27" t="n">
        <v>10947.8076</v>
      </c>
      <c r="J10" s="29" t="inlineStr">
        <is>
          <t>✕ 赤字</t>
        </is>
      </c>
    </row>
    <row r="11">
      <c r="A11" s="23" t="inlineStr">
        <is>
          <t>G. 固定費▲500万</t>
        </is>
      </c>
      <c r="B11" s="24" t="n">
        <v>1</v>
      </c>
      <c r="C11" s="25" t="n">
        <v>0.126</v>
      </c>
      <c r="D11" s="26" t="n">
        <v>500</v>
      </c>
      <c r="E11" s="27" t="n">
        <v>9233.1558</v>
      </c>
      <c r="F11" s="27" t="n">
        <v>1163.3776308</v>
      </c>
      <c r="G11" s="27" t="n">
        <v>2236.9519</v>
      </c>
      <c r="H11" s="28" t="n">
        <v>-1073.5742692</v>
      </c>
      <c r="I11" s="27" t="n">
        <v>17753.58650793651</v>
      </c>
      <c r="J11" s="29" t="inlineStr">
        <is>
          <t>✕ 赤字</t>
        </is>
      </c>
    </row>
    <row r="12">
      <c r="A12" s="23" t="inlineStr">
        <is>
          <t>H. 固定費▲1,000万</t>
        </is>
      </c>
      <c r="B12" s="24" t="n">
        <v>1</v>
      </c>
      <c r="C12" s="25" t="n">
        <v>0.126</v>
      </c>
      <c r="D12" s="26" t="n">
        <v>1000</v>
      </c>
      <c r="E12" s="27" t="n">
        <v>9233.1558</v>
      </c>
      <c r="F12" s="27" t="n">
        <v>1163.3776308</v>
      </c>
      <c r="G12" s="27" t="n">
        <v>1736.9519</v>
      </c>
      <c r="H12" s="28" t="n">
        <v>-573.5742692</v>
      </c>
      <c r="I12" s="27" t="n">
        <v>13785.33253968254</v>
      </c>
      <c r="J12" s="29" t="inlineStr">
        <is>
          <t>✕ 赤字</t>
        </is>
      </c>
    </row>
    <row r="13">
      <c r="A13" s="23" t="inlineStr">
        <is>
          <t>I. 固定費▲1,500万</t>
        </is>
      </c>
      <c r="B13" s="24" t="n">
        <v>1</v>
      </c>
      <c r="C13" s="25" t="n">
        <v>0.126</v>
      </c>
      <c r="D13" s="26" t="n">
        <v>1500</v>
      </c>
      <c r="E13" s="27" t="n">
        <v>9233.1558</v>
      </c>
      <c r="F13" s="27" t="n">
        <v>1163.3776308</v>
      </c>
      <c r="G13" s="27" t="n">
        <v>1236.9519</v>
      </c>
      <c r="H13" s="28" t="n">
        <v>-73.57426919999997</v>
      </c>
      <c r="I13" s="27" t="n">
        <v>9817.078571428572</v>
      </c>
      <c r="J13" s="29" t="inlineStr">
        <is>
          <t>✕ 赤字</t>
        </is>
      </c>
    </row>
    <row r="14">
      <c r="A14" s="23" t="inlineStr">
        <is>
          <t>J. 売上1.5×粗利率18%</t>
        </is>
      </c>
      <c r="B14" s="24" t="n">
        <v>1.5</v>
      </c>
      <c r="C14" s="25" t="n">
        <v>0.18</v>
      </c>
      <c r="D14" s="26" t="n">
        <v>0</v>
      </c>
      <c r="E14" s="27" t="n">
        <v>13849.7337</v>
      </c>
      <c r="F14" s="27" t="n">
        <v>2492.952066</v>
      </c>
      <c r="G14" s="27" t="n">
        <v>2736.9519</v>
      </c>
      <c r="H14" s="28" t="n">
        <v>-243.999834</v>
      </c>
      <c r="I14" s="27" t="n">
        <v>15205.28833333333</v>
      </c>
      <c r="J14" s="29" t="inlineStr">
        <is>
          <t>✕ 赤字</t>
        </is>
      </c>
    </row>
    <row r="15">
      <c r="A15" s="23" t="inlineStr">
        <is>
          <t>K. 売上1.5×▲500万</t>
        </is>
      </c>
      <c r="B15" s="24" t="n">
        <v>1.5</v>
      </c>
      <c r="C15" s="25" t="n">
        <v>0.126</v>
      </c>
      <c r="D15" s="26" t="n">
        <v>500</v>
      </c>
      <c r="E15" s="27" t="n">
        <v>13849.7337</v>
      </c>
      <c r="F15" s="27" t="n">
        <v>1745.0664462</v>
      </c>
      <c r="G15" s="27" t="n">
        <v>2236.9519</v>
      </c>
      <c r="H15" s="28" t="n">
        <v>-491.8854537999999</v>
      </c>
      <c r="I15" s="27" t="n">
        <v>17753.58650793651</v>
      </c>
      <c r="J15" s="29" t="inlineStr">
        <is>
          <t>✕ 赤字</t>
        </is>
      </c>
    </row>
    <row r="16">
      <c r="A16" s="30" t="inlineStr">
        <is>
          <t>L. 売上1.3×粗利率20%×▲500万</t>
        </is>
      </c>
      <c r="B16" s="31" t="n">
        <v>1.3</v>
      </c>
      <c r="C16" s="32" t="n">
        <v>0.2</v>
      </c>
      <c r="D16" s="33" t="n">
        <v>500</v>
      </c>
      <c r="E16" s="34" t="n">
        <v>12003.10254</v>
      </c>
      <c r="F16" s="34" t="n">
        <v>2400.620508</v>
      </c>
      <c r="G16" s="34" t="n">
        <v>2236.9519</v>
      </c>
      <c r="H16" s="35" t="n">
        <v>163.6686080000002</v>
      </c>
      <c r="I16" s="34" t="n">
        <v>11184.7595</v>
      </c>
      <c r="J16" s="36" t="inlineStr">
        <is>
          <t>◎ 黒字</t>
        </is>
      </c>
    </row>
    <row r="17">
      <c r="A17" s="37" t="inlineStr">
        <is>
          <t>★ 推奨：売上1.5×粗利率18%×▲500万</t>
        </is>
      </c>
      <c r="B17" s="38" t="n">
        <v>1.5</v>
      </c>
      <c r="C17" s="39" t="n">
        <v>0.18</v>
      </c>
      <c r="D17" s="40" t="n">
        <v>500</v>
      </c>
      <c r="E17" s="41" t="n">
        <v>13849.7337</v>
      </c>
      <c r="F17" s="41" t="n">
        <v>2492.952066</v>
      </c>
      <c r="G17" s="41" t="n">
        <v>2236.9519</v>
      </c>
      <c r="H17" s="42" t="n">
        <v>256.000166</v>
      </c>
      <c r="I17" s="41" t="n">
        <v>12427.51055555556</v>
      </c>
      <c r="J17" s="43" t="inlineStr">
        <is>
          <t>◎ 黒字</t>
        </is>
      </c>
    </row>
    <row r="18">
      <c r="A18" s="37" t="inlineStr">
        <is>
          <t>★★ 強気：売上2.0×粗利率20%×▲1,000万</t>
        </is>
      </c>
      <c r="B18" s="38" t="n">
        <v>2</v>
      </c>
      <c r="C18" s="39" t="n">
        <v>0.2</v>
      </c>
      <c r="D18" s="40" t="n">
        <v>1000</v>
      </c>
      <c r="E18" s="41" t="n">
        <v>18466.3116</v>
      </c>
      <c r="F18" s="41" t="n">
        <v>3693.26232</v>
      </c>
      <c r="G18" s="41" t="n">
        <v>1736.9519</v>
      </c>
      <c r="H18" s="42" t="n">
        <v>1956.31042</v>
      </c>
      <c r="I18" s="41" t="n">
        <v>8684.7595</v>
      </c>
      <c r="J18" s="43" t="inlineStr">
        <is>
          <t>◎ 黒字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8" customWidth="1" min="4" max="4"/>
    <col width="14" customWidth="1" min="5" max="5"/>
    <col width="10" customWidth="1" min="6" max="6"/>
  </cols>
  <sheetData>
    <row r="1" ht="30" customHeight="1">
      <c r="A1" s="1" t="inlineStr">
        <is>
          <t>戦略D ｜ 固定費削減分析  ―  削減余地と優先順位</t>
        </is>
      </c>
    </row>
    <row r="3">
      <c r="A3" s="3" t="inlineStr">
        <is>
          <t>【固定費内訳と削減余地の評価】</t>
        </is>
      </c>
    </row>
    <row r="4">
      <c r="A4" s="4" t="inlineStr">
        <is>
          <t>固定費項目</t>
        </is>
      </c>
      <c r="B4" s="4" t="inlineStr">
        <is>
          <t>実績金額（円）</t>
        </is>
      </c>
      <c r="C4" s="4" t="inlineStr">
        <is>
          <t>構成比</t>
        </is>
      </c>
      <c r="D4" s="4" t="inlineStr">
        <is>
          <t>削減難易度</t>
        </is>
      </c>
      <c r="E4" s="4" t="inlineStr">
        <is>
          <t>削減余地（想定）</t>
        </is>
      </c>
      <c r="F4" s="4" t="inlineStr">
        <is>
          <t>コメント</t>
        </is>
      </c>
    </row>
    <row r="5">
      <c r="A5" s="5" t="inlineStr">
        <is>
          <t>システム維持管理費</t>
        </is>
      </c>
      <c r="B5" s="44" t="n">
        <v>19699862</v>
      </c>
      <c r="C5" s="45" t="n">
        <v>0.6902177140606988</v>
      </c>
      <c r="D5" s="36" t="inlineStr">
        <is>
          <t>低 ★★★</t>
        </is>
      </c>
      <c r="E5" s="46" t="inlineStr">
        <is>
          <t>中〜大（要精査）</t>
        </is>
      </c>
      <c r="F5" s="47" t="inlineStr">
        <is>
          <t>最大の固定費。ベンダーとの再交渉・機能削減・内製化検討が急務</t>
        </is>
      </c>
    </row>
    <row r="6">
      <c r="A6" s="5" t="inlineStr">
        <is>
          <t>SD部業務委託費</t>
        </is>
      </c>
      <c r="B6" s="44" t="n">
        <v>5280000</v>
      </c>
      <c r="C6" s="45" t="n">
        <v>0.1849936578358005</v>
      </c>
      <c r="D6" s="29" t="inlineStr">
        <is>
          <t>中</t>
        </is>
      </c>
      <c r="E6" s="46" t="inlineStr">
        <is>
          <t>小〜中</t>
        </is>
      </c>
      <c r="F6" s="47" t="inlineStr">
        <is>
          <t>業務内容次第。内製化・自動化で一部削減可能性あり</t>
        </is>
      </c>
    </row>
    <row r="7">
      <c r="A7" s="5" t="inlineStr">
        <is>
          <t>SMP利用料（固定）</t>
        </is>
      </c>
      <c r="B7" s="44" t="n">
        <v>1872600</v>
      </c>
      <c r="C7" s="45" t="n">
        <v>0.06560968251199244</v>
      </c>
      <c r="D7" s="29" t="inlineStr">
        <is>
          <t>高</t>
        </is>
      </c>
      <c r="E7" s="46" t="inlineStr">
        <is>
          <t>小</t>
        </is>
      </c>
      <c r="F7" s="47" t="inlineStr">
        <is>
          <t>パートナー契約依存。短期削減困難だが見直し交渉余地あり</t>
        </is>
      </c>
    </row>
    <row r="8">
      <c r="A8" s="5" t="inlineStr">
        <is>
          <t>DM Publisher利用料（固定）</t>
        </is>
      </c>
      <c r="B8" s="44" t="n">
        <v>499200</v>
      </c>
      <c r="C8" s="45" t="n">
        <v>0.01749030946811205</v>
      </c>
      <c r="D8" s="29" t="inlineStr">
        <is>
          <t>高</t>
        </is>
      </c>
      <c r="E8" s="46" t="inlineStr">
        <is>
          <t>小</t>
        </is>
      </c>
      <c r="F8" s="47" t="inlineStr">
        <is>
          <t>エンバーポイント契約依存。同上</t>
        </is>
      </c>
    </row>
    <row r="9">
      <c r="A9" s="5" t="inlineStr">
        <is>
          <t>減価償却費（共通基盤）</t>
        </is>
      </c>
      <c r="B9" s="44" t="n">
        <v>1076000</v>
      </c>
      <c r="C9" s="45" t="n">
        <v>0.03769946511956845</v>
      </c>
      <c r="D9" s="36" t="inlineStr">
        <is>
          <t>低（確定）</t>
        </is>
      </c>
      <c r="E9" s="46" t="inlineStr">
        <is>
          <t>大（確定ゼロ）</t>
        </is>
      </c>
      <c r="F9" s="47" t="inlineStr">
        <is>
          <t>★ 今後ゼロになることが確定。▲107.6万円の改善</t>
        </is>
      </c>
    </row>
    <row r="10">
      <c r="A10" s="5" t="inlineStr">
        <is>
          <t>減価償却費（個別案件）</t>
        </is>
      </c>
      <c r="B10" s="44" t="n">
        <v>96000</v>
      </c>
      <c r="C10" s="45" t="n">
        <v>0.00336352105156001</v>
      </c>
      <c r="D10" s="36" t="inlineStr">
        <is>
          <t>低（確定）</t>
        </is>
      </c>
      <c r="E10" s="46" t="inlineStr">
        <is>
          <t>大（確定ゼロ）</t>
        </is>
      </c>
      <c r="F10" s="47" t="inlineStr">
        <is>
          <t>★ 同上。▲9.6万円</t>
        </is>
      </c>
    </row>
    <row r="11">
      <c r="A11" s="5" t="inlineStr">
        <is>
          <t>企画・営業サポート</t>
        </is>
      </c>
      <c r="B11" s="44" t="n">
        <v>17857</v>
      </c>
      <c r="C11" s="45" t="n">
        <v>0.0006256499522677822</v>
      </c>
      <c r="D11" s="29" t="inlineStr">
        <is>
          <t>高</t>
        </is>
      </c>
      <c r="E11" s="46" t="inlineStr">
        <is>
          <t>なし</t>
        </is>
      </c>
      <c r="F11" s="47" t="inlineStr">
        <is>
          <t>金額軽微</t>
        </is>
      </c>
    </row>
    <row r="12">
      <c r="A12" s="19" t="inlineStr">
        <is>
          <t>固定費合計</t>
        </is>
      </c>
      <c r="B12" s="13" t="n">
        <v>28541519</v>
      </c>
      <c r="C12" s="48" t="n">
        <v>1</v>
      </c>
    </row>
    <row r="14">
      <c r="A14" s="3" t="inlineStr">
        <is>
          <t>【削減シナリオ別 損益インパクト試算】</t>
        </is>
      </c>
    </row>
    <row r="15">
      <c r="A15" s="4" t="inlineStr">
        <is>
          <t>削減シナリオ</t>
        </is>
      </c>
      <c r="B15" s="4" t="inlineStr">
        <is>
          <t>削減想定額</t>
        </is>
      </c>
      <c r="C15" s="4" t="inlineStr">
        <is>
          <t>修正固定費</t>
        </is>
      </c>
      <c r="D15" s="4" t="inlineStr">
        <is>
          <t>損益（売上現状維持）</t>
        </is>
      </c>
      <c r="E15" s="4" t="inlineStr">
        <is>
          <t>損益改善額</t>
        </is>
      </c>
      <c r="F15" s="4" t="inlineStr">
        <is>
          <t>評価</t>
        </is>
      </c>
    </row>
    <row r="16">
      <c r="A16" s="23" t="inlineStr">
        <is>
          <t>① 減価償却ゼロのみ（確定）</t>
        </is>
      </c>
      <c r="B16" s="26" t="n">
        <v>1172000</v>
      </c>
      <c r="C16" s="26" t="n">
        <v>26197519</v>
      </c>
      <c r="D16" s="49" t="n">
        <v>-14583137</v>
      </c>
      <c r="E16" s="26" t="n">
        <v>1172000</v>
      </c>
      <c r="F16" s="29" t="inlineStr">
        <is>
          <t>✕ 赤字</t>
        </is>
      </c>
    </row>
    <row r="17">
      <c r="A17" s="23" t="inlineStr">
        <is>
          <t>② ①＋システム費▲300万</t>
        </is>
      </c>
      <c r="B17" s="26" t="n">
        <v>4172000</v>
      </c>
      <c r="C17" s="26" t="n">
        <v>23197519</v>
      </c>
      <c r="D17" s="49" t="n">
        <v>-11583137</v>
      </c>
      <c r="E17" s="26" t="n">
        <v>4172000</v>
      </c>
      <c r="F17" s="29" t="inlineStr">
        <is>
          <t>✕ 赤字</t>
        </is>
      </c>
    </row>
    <row r="18">
      <c r="A18" s="23" t="inlineStr">
        <is>
          <t>③ ①＋システム費▲600万</t>
        </is>
      </c>
      <c r="B18" s="26" t="n">
        <v>7172000</v>
      </c>
      <c r="C18" s="26" t="n">
        <v>20197519</v>
      </c>
      <c r="D18" s="49" t="n">
        <v>-8583137</v>
      </c>
      <c r="E18" s="26" t="n">
        <v>7172000</v>
      </c>
      <c r="F18" s="29" t="inlineStr">
        <is>
          <t>✕ 赤字</t>
        </is>
      </c>
    </row>
    <row r="19">
      <c r="A19" s="50" t="inlineStr">
        <is>
          <t>④ ①＋システム費▲1,000万</t>
        </is>
      </c>
      <c r="B19" s="51" t="n">
        <v>11172000</v>
      </c>
      <c r="C19" s="51" t="n">
        <v>16197519</v>
      </c>
      <c r="D19" s="52" t="n">
        <v>-4583137</v>
      </c>
      <c r="E19" s="51" t="n">
        <v>11172000</v>
      </c>
      <c r="F19" s="53" t="inlineStr">
        <is>
          <t>△ 小幅赤字</t>
        </is>
      </c>
    </row>
    <row r="20">
      <c r="A20" s="23" t="inlineStr">
        <is>
          <t>⑤ ①＋システム費▲600万＋SD費▲200万</t>
        </is>
      </c>
      <c r="B20" s="26" t="n">
        <v>9172000</v>
      </c>
      <c r="C20" s="26" t="n">
        <v>18197519</v>
      </c>
      <c r="D20" s="49" t="n">
        <v>-6583137</v>
      </c>
      <c r="E20" s="26" t="n">
        <v>9172000</v>
      </c>
      <c r="F20" s="29" t="inlineStr">
        <is>
          <t>✕ 赤字</t>
        </is>
      </c>
    </row>
    <row r="21">
      <c r="A21" s="50" t="inlineStr">
        <is>
          <t>⑥ 最大削減（理論値）</t>
        </is>
      </c>
      <c r="B21" s="51" t="n">
        <v>14080200</v>
      </c>
      <c r="C21" s="51" t="n">
        <v>13289319</v>
      </c>
      <c r="D21" s="52" t="n">
        <v>-1674937</v>
      </c>
      <c r="E21" s="51" t="n">
        <v>14080200</v>
      </c>
      <c r="F21" s="53" t="inlineStr">
        <is>
          <t>△ 小幅赤字</t>
        </is>
      </c>
    </row>
  </sheetData>
  <mergeCells count="3">
    <mergeCell ref="A3:F3"/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2026-05-02T14:36:06Z</dcterms:created>
  <dcterms:modified xmlns:dcterms="http://purl.org/dc/terms/" xmlns:xsi="http://www.w3.org/2001/XMLSchema-instance" xsi:type="dcterms:W3CDTF">2026-05-02T14:36:06Z</dcterms:modified>
</cp:coreProperties>
</file>